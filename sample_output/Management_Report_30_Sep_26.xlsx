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Variance" sheetId="1" state="visible" r:id="rId1"/>
    <sheet name="Comment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;[Red]-0.0%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11"/>
    </font>
    <font>
      <color rgb="00595959"/>
      <sz val="9"/>
    </font>
    <font>
      <b val="1"/>
      <color rgb="00FFFFFF"/>
    </font>
    <font>
      <b val="1"/>
      <color rgb="00C00000"/>
    </font>
    <font>
      <b val="1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5" fontId="0" fillId="3" borderId="0" applyAlignment="1" pivotButton="0" quotePrefix="0" xfId="0">
      <alignment horizontal="right"/>
    </xf>
    <xf numFmtId="0" fontId="5" fillId="3" borderId="0" pivotButton="0" quotePrefix="0" xfId="0"/>
    <xf numFmtId="0" fontId="6" fillId="0" borderId="1" pivotButton="0" quotePrefix="0" xfId="0"/>
    <xf numFmtId="164" fontId="6" fillId="0" borderId="1" pivotButton="0" quotePrefix="0" xfId="0"/>
    <xf numFmtId="165" fontId="6" fillId="0" borderId="1" applyAlignment="1" pivotButton="0" quotePrefix="0" xfId="0">
      <alignment horizontal="right"/>
    </xf>
    <xf numFmtId="164" fontId="0" fillId="0" borderId="0" pivotButton="0" quotePrefix="0" xfId="0"/>
    <xf numFmtId="165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9" customWidth="1" min="7" max="7"/>
  </cols>
  <sheetData>
    <row r="1">
      <c r="A1" s="1" t="inlineStr">
        <is>
          <t>Demo Company (Global) - Profit and Loss Variance</t>
        </is>
      </c>
    </row>
    <row r="2">
      <c r="A2" s="2" t="inlineStr">
        <is>
          <t>30 Sep 26 vs 30 Aug 26</t>
        </is>
      </c>
    </row>
    <row r="3">
      <c r="A3" s="3" t="inlineStr">
        <is>
          <t>Source: Xero API (read-only). Highlighted lines are above the review threshold. Draft for accountant review.</t>
        </is>
      </c>
    </row>
    <row r="5">
      <c r="A5" s="4" t="inlineStr">
        <is>
          <t>Section</t>
        </is>
      </c>
      <c r="B5" s="4" t="inlineStr">
        <is>
          <t>Account</t>
        </is>
      </c>
      <c r="C5" s="5" t="inlineStr">
        <is>
          <t>30 Sep 26</t>
        </is>
      </c>
      <c r="D5" s="5" t="inlineStr">
        <is>
          <t>30 Aug 26</t>
        </is>
      </c>
      <c r="E5" s="5" t="inlineStr">
        <is>
          <t>Change</t>
        </is>
      </c>
      <c r="F5" s="5" t="inlineStr">
        <is>
          <t>Change %</t>
        </is>
      </c>
      <c r="G5" s="5" t="inlineStr">
        <is>
          <t>Review</t>
        </is>
      </c>
    </row>
    <row r="6">
      <c r="A6" s="6" t="inlineStr">
        <is>
          <t>Income</t>
        </is>
      </c>
      <c r="B6" s="6" t="inlineStr">
        <is>
          <t>Sales</t>
        </is>
      </c>
      <c r="C6" s="7" t="n">
        <v>13829.59</v>
      </c>
      <c r="D6" s="7" t="n">
        <v>11230.84</v>
      </c>
      <c r="E6" s="7">
        <f>C6-D6</f>
        <v/>
      </c>
      <c r="F6" s="8">
        <f>IF(D6=0,IF(C6=0,"","new"),IF(AND(D6&lt;0,C6&gt;0),"loss to profit",IF(AND(D6&gt;0,C6&lt;0),"profit to loss",E6/ABS(D6))))</f>
        <v/>
      </c>
      <c r="G6" s="9" t="inlineStr">
        <is>
          <t>Check</t>
        </is>
      </c>
    </row>
    <row r="7">
      <c r="A7" s="10" t="inlineStr">
        <is>
          <t>Income</t>
        </is>
      </c>
      <c r="B7" s="10" t="inlineStr">
        <is>
          <t>Total Income</t>
        </is>
      </c>
      <c r="C7" s="11" t="n">
        <v>13829.59</v>
      </c>
      <c r="D7" s="11" t="n">
        <v>11230.84</v>
      </c>
      <c r="E7" s="11">
        <f>C7-D7</f>
        <v/>
      </c>
      <c r="F7" s="12">
        <f>IF(D7=0,IF(C7=0,"","new"),IF(AND(D7&lt;0,C7&gt;0),"loss to profit",IF(AND(D7&gt;0,C7&lt;0),"profit to loss",E7/ABS(D7))))</f>
        <v/>
      </c>
      <c r="G7" s="10" t="inlineStr"/>
    </row>
    <row r="8">
      <c r="A8" s="6" t="inlineStr">
        <is>
          <t>Less Cost of Sales</t>
        </is>
      </c>
      <c r="B8" s="6" t="inlineStr">
        <is>
          <t>Purchases</t>
        </is>
      </c>
      <c r="C8" s="7" t="n">
        <v>775.98</v>
      </c>
      <c r="D8" s="7" t="n">
        <v>0</v>
      </c>
      <c r="E8" s="7">
        <f>C8-D8</f>
        <v/>
      </c>
      <c r="F8" s="8">
        <f>IF(D8=0,IF(C8=0,"","new"),IF(AND(D8&lt;0,C8&gt;0),"loss to profit",IF(AND(D8&gt;0,C8&lt;0),"profit to loss",E8/ABS(D8))))</f>
        <v/>
      </c>
      <c r="G8" s="9" t="inlineStr">
        <is>
          <t>Check</t>
        </is>
      </c>
    </row>
    <row r="9">
      <c r="A9" s="10" t="inlineStr">
        <is>
          <t>Less Cost of Sales</t>
        </is>
      </c>
      <c r="B9" s="10" t="inlineStr">
        <is>
          <t>Total Cost of Sales</t>
        </is>
      </c>
      <c r="C9" s="11" t="n">
        <v>775.98</v>
      </c>
      <c r="D9" s="11" t="n">
        <v>0</v>
      </c>
      <c r="E9" s="11">
        <f>C9-D9</f>
        <v/>
      </c>
      <c r="F9" s="12">
        <f>IF(D9=0,IF(C9=0,"","new"),IF(AND(D9&lt;0,C9&gt;0),"loss to profit",IF(AND(D9&gt;0,C9&lt;0),"profit to loss",E9/ABS(D9))))</f>
        <v/>
      </c>
      <c r="G9" s="10" t="inlineStr"/>
    </row>
    <row r="10">
      <c r="A10" s="10" t="inlineStr">
        <is>
          <t>Summary</t>
        </is>
      </c>
      <c r="B10" s="10" t="inlineStr">
        <is>
          <t>Gross Profit</t>
        </is>
      </c>
      <c r="C10" s="11" t="n">
        <v>13053.61</v>
      </c>
      <c r="D10" s="11" t="n">
        <v>11230.84</v>
      </c>
      <c r="E10" s="11">
        <f>C10-D10</f>
        <v/>
      </c>
      <c r="F10" s="12">
        <f>IF(D10=0,IF(C10=0,"","new"),IF(AND(D10&lt;0,C10&gt;0),"loss to profit",IF(AND(D10&gt;0,C10&lt;0),"profit to loss",E10/ABS(D10))))</f>
        <v/>
      </c>
      <c r="G10" s="10" t="inlineStr"/>
    </row>
    <row r="11">
      <c r="A11" s="6" t="inlineStr">
        <is>
          <t>Less Operating Expenses</t>
        </is>
      </c>
      <c r="B11" s="6" t="inlineStr">
        <is>
          <t>Advertising</t>
        </is>
      </c>
      <c r="C11" s="7" t="n">
        <v>2309.47</v>
      </c>
      <c r="D11" s="7" t="n">
        <v>7347.58</v>
      </c>
      <c r="E11" s="7">
        <f>C11-D11</f>
        <v/>
      </c>
      <c r="F11" s="8">
        <f>IF(D11=0,IF(C11=0,"","new"),IF(AND(D11&lt;0,C11&gt;0),"loss to profit",IF(AND(D11&gt;0,C11&lt;0),"profit to loss",E11/ABS(D11))))</f>
        <v/>
      </c>
      <c r="G11" s="9" t="inlineStr">
        <is>
          <t>Check</t>
        </is>
      </c>
    </row>
    <row r="12">
      <c r="A12" t="inlineStr">
        <is>
          <t>Less Operating Expenses</t>
        </is>
      </c>
      <c r="B12" t="inlineStr">
        <is>
          <t>Bank Fees</t>
        </is>
      </c>
      <c r="C12" s="13" t="n">
        <v>0</v>
      </c>
      <c r="D12" s="13" t="n">
        <v>15</v>
      </c>
      <c r="E12" s="13">
        <f>C12-D12</f>
        <v/>
      </c>
      <c r="F12" s="14">
        <f>IF(D12=0,IF(C12=0,"","new"),IF(AND(D12&lt;0,C12&gt;0),"loss to profit",IF(AND(D12&gt;0,C12&lt;0),"profit to loss",E12/ABS(D12))))</f>
        <v/>
      </c>
      <c r="G12" t="inlineStr"/>
    </row>
    <row r="13">
      <c r="A13" t="inlineStr">
        <is>
          <t>Less Operating Expenses</t>
        </is>
      </c>
      <c r="B13" t="inlineStr">
        <is>
          <t>Cleaning</t>
        </is>
      </c>
      <c r="C13" s="13" t="n">
        <v>800</v>
      </c>
      <c r="D13" s="13" t="n">
        <v>310</v>
      </c>
      <c r="E13" s="13">
        <f>C13-D13</f>
        <v/>
      </c>
      <c r="F13" s="14">
        <f>IF(D13=0,IF(C13=0,"","new"),IF(AND(D13&lt;0,C13&gt;0),"loss to profit",IF(AND(D13&gt;0,C13&lt;0),"profit to loss",E13/ABS(D13))))</f>
        <v/>
      </c>
      <c r="G13" t="inlineStr"/>
    </row>
    <row r="14">
      <c r="A14" t="inlineStr">
        <is>
          <t>Less Operating Expenses</t>
        </is>
      </c>
      <c r="B14" t="inlineStr">
        <is>
          <t>Consulting &amp; Accounting</t>
        </is>
      </c>
      <c r="C14" s="13" t="n">
        <v>29</v>
      </c>
      <c r="D14" s="13" t="n">
        <v>29</v>
      </c>
      <c r="E14" s="13">
        <f>C14-D14</f>
        <v/>
      </c>
      <c r="F14" s="14">
        <f>IF(D14=0,IF(C14=0,"","new"),IF(AND(D14&lt;0,C14&gt;0),"loss to profit",IF(AND(D14&gt;0,C14&lt;0),"profit to loss",E14/ABS(D14))))</f>
        <v/>
      </c>
      <c r="G14" t="inlineStr"/>
    </row>
    <row r="15">
      <c r="A15" s="6" t="inlineStr">
        <is>
          <t>Less Operating Expenses</t>
        </is>
      </c>
      <c r="B15" s="6" t="inlineStr">
        <is>
          <t>Entertainment</t>
        </is>
      </c>
      <c r="C15" s="7" t="n">
        <v>22</v>
      </c>
      <c r="D15" s="7" t="n">
        <v>1515.6</v>
      </c>
      <c r="E15" s="7">
        <f>C15-D15</f>
        <v/>
      </c>
      <c r="F15" s="8">
        <f>IF(D15=0,IF(C15=0,"","new"),IF(AND(D15&lt;0,C15&gt;0),"loss to profit",IF(AND(D15&gt;0,C15&lt;0),"profit to loss",E15/ABS(D15))))</f>
        <v/>
      </c>
      <c r="G15" s="9" t="inlineStr">
        <is>
          <t>Check</t>
        </is>
      </c>
    </row>
    <row r="16">
      <c r="A16" t="inlineStr">
        <is>
          <t>Less Operating Expenses</t>
        </is>
      </c>
      <c r="B16" t="inlineStr">
        <is>
          <t>Freight &amp; Courier</t>
        </is>
      </c>
      <c r="C16" s="13" t="n">
        <v>105.5</v>
      </c>
      <c r="D16" s="13" t="n">
        <v>0</v>
      </c>
      <c r="E16" s="13">
        <f>C16-D16</f>
        <v/>
      </c>
      <c r="F16" s="14">
        <f>IF(D16=0,IF(C16=0,"","new"),IF(AND(D16&lt;0,C16&gt;0),"loss to profit",IF(AND(D16&gt;0,C16&lt;0),"profit to loss",E16/ABS(D16))))</f>
        <v/>
      </c>
      <c r="G16" t="inlineStr"/>
    </row>
    <row r="17">
      <c r="A17" t="inlineStr">
        <is>
          <t>Less Operating Expenses</t>
        </is>
      </c>
      <c r="B17" t="inlineStr">
        <is>
          <t>General Expenses</t>
        </is>
      </c>
      <c r="C17" s="13" t="n">
        <v>120.09</v>
      </c>
      <c r="D17" s="13" t="n">
        <v>46.19</v>
      </c>
      <c r="E17" s="13">
        <f>C17-D17</f>
        <v/>
      </c>
      <c r="F17" s="14">
        <f>IF(D17=0,IF(C17=0,"","new"),IF(AND(D17&lt;0,C17&gt;0),"loss to profit",IF(AND(D17&gt;0,C17&lt;0),"profit to loss",E17/ABS(D17))))</f>
        <v/>
      </c>
      <c r="G17" t="inlineStr"/>
    </row>
    <row r="18">
      <c r="A18" t="inlineStr">
        <is>
          <t>Less Operating Expenses</t>
        </is>
      </c>
      <c r="B18" t="inlineStr">
        <is>
          <t>Light, Power, Heating</t>
        </is>
      </c>
      <c r="C18" s="13" t="n">
        <v>100.32</v>
      </c>
      <c r="D18" s="13" t="n">
        <v>125.5</v>
      </c>
      <c r="E18" s="13">
        <f>C18-D18</f>
        <v/>
      </c>
      <c r="F18" s="14">
        <f>IF(D18=0,IF(C18=0,"","new"),IF(AND(D18&lt;0,C18&gt;0),"loss to profit",IF(AND(D18&gt;0,C18&lt;0),"profit to loss",E18/ABS(D18))))</f>
        <v/>
      </c>
      <c r="G18" t="inlineStr"/>
    </row>
    <row r="19">
      <c r="A19" t="inlineStr">
        <is>
          <t>Less Operating Expenses</t>
        </is>
      </c>
      <c r="B19" t="inlineStr">
        <is>
          <t>Motor Vehicle Expenses</t>
        </is>
      </c>
      <c r="C19" s="13" t="n">
        <v>380</v>
      </c>
      <c r="D19" s="13" t="n">
        <v>274.36</v>
      </c>
      <c r="E19" s="13">
        <f>C19-D19</f>
        <v/>
      </c>
      <c r="F19" s="14">
        <f>IF(D19=0,IF(C19=0,"","new"),IF(AND(D19&lt;0,C19&gt;0),"loss to profit",IF(AND(D19&gt;0,C19&lt;0),"profit to loss",E19/ABS(D19))))</f>
        <v/>
      </c>
      <c r="G19" t="inlineStr"/>
    </row>
    <row r="20">
      <c r="A20" t="inlineStr">
        <is>
          <t>Less Operating Expenses</t>
        </is>
      </c>
      <c r="B20" t="inlineStr">
        <is>
          <t>Office Expenses</t>
        </is>
      </c>
      <c r="C20" s="13" t="n">
        <v>212</v>
      </c>
      <c r="D20" s="13" t="n">
        <v>590.25</v>
      </c>
      <c r="E20" s="13">
        <f>C20-D20</f>
        <v/>
      </c>
      <c r="F20" s="14">
        <f>IF(D20=0,IF(C20=0,"","new"),IF(AND(D20&lt;0,C20&gt;0),"loss to profit",IF(AND(D20&gt;0,C20&lt;0),"profit to loss",E20/ABS(D20))))</f>
        <v/>
      </c>
      <c r="G20" t="inlineStr"/>
    </row>
    <row r="21">
      <c r="A21" t="inlineStr">
        <is>
          <t>Less Operating Expenses</t>
        </is>
      </c>
      <c r="B21" t="inlineStr">
        <is>
          <t>Printing &amp; Stationery</t>
        </is>
      </c>
      <c r="C21" s="13" t="n">
        <v>0</v>
      </c>
      <c r="D21" s="13" t="n">
        <v>27.25</v>
      </c>
      <c r="E21" s="13">
        <f>C21-D21</f>
        <v/>
      </c>
      <c r="F21" s="14">
        <f>IF(D21=0,IF(C21=0,"","new"),IF(AND(D21&lt;0,C21&gt;0),"loss to profit",IF(AND(D21&gt;0,C21&lt;0),"profit to loss",E21/ABS(D21))))</f>
        <v/>
      </c>
      <c r="G21" t="inlineStr"/>
    </row>
    <row r="22">
      <c r="A22" t="inlineStr">
        <is>
          <t>Less Operating Expenses</t>
        </is>
      </c>
      <c r="B22" t="inlineStr">
        <is>
          <t>Rent</t>
        </is>
      </c>
      <c r="C22" s="13" t="n">
        <v>1091.22</v>
      </c>
      <c r="D22" s="13" t="n">
        <v>1091.22</v>
      </c>
      <c r="E22" s="13">
        <f>C22-D22</f>
        <v/>
      </c>
      <c r="F22" s="14">
        <f>IF(D22=0,IF(C22=0,"","new"),IF(AND(D22&lt;0,C22&gt;0),"loss to profit",IF(AND(D22&gt;0,C22&lt;0),"profit to loss",E22/ABS(D22))))</f>
        <v/>
      </c>
      <c r="G22" t="inlineStr"/>
    </row>
    <row r="23">
      <c r="A23" s="6" t="inlineStr">
        <is>
          <t>Less Operating Expenses</t>
        </is>
      </c>
      <c r="B23" s="6" t="inlineStr">
        <is>
          <t>Repairs and Maintenance</t>
        </is>
      </c>
      <c r="C23" s="7" t="n">
        <v>64.2</v>
      </c>
      <c r="D23" s="7" t="n">
        <v>1832.5</v>
      </c>
      <c r="E23" s="7">
        <f>C23-D23</f>
        <v/>
      </c>
      <c r="F23" s="8">
        <f>IF(D23=0,IF(C23=0,"","new"),IF(AND(D23&lt;0,C23&gt;0),"loss to profit",IF(AND(D23&gt;0,C23&lt;0),"profit to loss",E23/ABS(D23))))</f>
        <v/>
      </c>
      <c r="G23" s="9" t="inlineStr">
        <is>
          <t>Check</t>
        </is>
      </c>
    </row>
    <row r="24">
      <c r="A24" t="inlineStr">
        <is>
          <t>Less Operating Expenses</t>
        </is>
      </c>
      <c r="B24" t="inlineStr">
        <is>
          <t>Telephone &amp; Internet</t>
        </is>
      </c>
      <c r="C24" s="13" t="n">
        <v>151.62</v>
      </c>
      <c r="D24" s="13" t="n">
        <v>43.25</v>
      </c>
      <c r="E24" s="13">
        <f>C24-D24</f>
        <v/>
      </c>
      <c r="F24" s="14">
        <f>IF(D24=0,IF(C24=0,"","new"),IF(AND(D24&lt;0,C24&gt;0),"loss to profit",IF(AND(D24&gt;0,C24&lt;0),"profit to loss",E24/ABS(D24))))</f>
        <v/>
      </c>
      <c r="G24" t="inlineStr"/>
    </row>
    <row r="25">
      <c r="A25" t="inlineStr">
        <is>
          <t>Less Operating Expenses</t>
        </is>
      </c>
      <c r="B25" t="inlineStr">
        <is>
          <t>Travel - National</t>
        </is>
      </c>
      <c r="C25" s="13" t="n">
        <v>378.82</v>
      </c>
      <c r="D25" s="13" t="n">
        <v>11.09</v>
      </c>
      <c r="E25" s="13">
        <f>C25-D25</f>
        <v/>
      </c>
      <c r="F25" s="14">
        <f>IF(D25=0,IF(C25=0,"","new"),IF(AND(D25&lt;0,C25&gt;0),"loss to profit",IF(AND(D25&gt;0,C25&lt;0),"profit to loss",E25/ABS(D25))))</f>
        <v/>
      </c>
      <c r="G25" t="inlineStr"/>
    </row>
    <row r="26">
      <c r="A26" s="10" t="inlineStr">
        <is>
          <t>Less Operating Expenses</t>
        </is>
      </c>
      <c r="B26" s="10" t="inlineStr">
        <is>
          <t>Total Operating Expenses</t>
        </is>
      </c>
      <c r="C26" s="11" t="n">
        <v>5764.24</v>
      </c>
      <c r="D26" s="11" t="n">
        <v>13258.79</v>
      </c>
      <c r="E26" s="11">
        <f>C26-D26</f>
        <v/>
      </c>
      <c r="F26" s="12">
        <f>IF(D26=0,IF(C26=0,"","new"),IF(AND(D26&lt;0,C26&gt;0),"loss to profit",IF(AND(D26&gt;0,C26&lt;0),"profit to loss",E26/ABS(D26))))</f>
        <v/>
      </c>
      <c r="G26" s="10" t="inlineStr"/>
    </row>
    <row r="27">
      <c r="A27" s="10" t="inlineStr">
        <is>
          <t>Summary</t>
        </is>
      </c>
      <c r="B27" s="10" t="inlineStr">
        <is>
          <t>Net Profit</t>
        </is>
      </c>
      <c r="C27" s="11" t="n">
        <v>7289.37</v>
      </c>
      <c r="D27" s="11" t="n">
        <v>-2027.95</v>
      </c>
      <c r="E27" s="11">
        <f>C27-D27</f>
        <v/>
      </c>
      <c r="F27" s="12">
        <f>IF(D27=0,IF(C27=0,"","new"),IF(AND(D27&lt;0,C27&gt;0),"loss to profit",IF(AND(D27&gt;0,C27&lt;0),"profit to loss",E27/ABS(D27))))</f>
        <v/>
      </c>
      <c r="G27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Management Commentary - Demo Company (Global)</t>
        </is>
      </c>
    </row>
    <row r="2">
      <c r="A2" s="16" t="inlineStr">
        <is>
          <t>30 Sep 26 vs 30 Aug 26</t>
        </is>
      </c>
    </row>
    <row r="3">
      <c r="A3" s="16" t="inlineStr">
        <is>
          <t>Draft generated by AI (gpt-4.1) for accountant review.</t>
        </is>
      </c>
    </row>
    <row r="4"/>
    <row r="5">
      <c r="A5" s="17" t="inlineStr">
        <is>
          <t>Summary</t>
        </is>
      </c>
    </row>
    <row r="6">
      <c r="A6" s="16" t="inlineStr">
        <is>
          <t>Total Income for September was 13,830, up from 11,231 in August. Gross Profit rose to 13,054 from 11,231. The business moved from a net loss of 2,028 last month to a net profit of 7,289 this month. Total Operating Expenses decreased from 13,259 to 5,764.</t>
        </is>
      </c>
    </row>
    <row r="7"/>
    <row r="8">
      <c r="A8" s="17" t="inlineStr">
        <is>
          <t>Key movements</t>
        </is>
      </c>
    </row>
    <row r="9">
      <c r="A9" s="16" t="inlineStr">
        <is>
          <t>Sales were 13,830 against 11,231 last month, an increase of 2,599 (23.1%).</t>
        </is>
      </c>
    </row>
    <row r="10">
      <c r="A10" s="16" t="inlineStr">
        <is>
          <t>Purchases were 776 compared with zero last month, an increase of 776.</t>
        </is>
      </c>
    </row>
    <row r="11">
      <c r="A11" s="16" t="inlineStr">
        <is>
          <t>Advertising was 2,309 against 7,348 last month, a fall of 5,038 (68.6%). This has improved profit.</t>
        </is>
      </c>
    </row>
    <row r="12">
      <c r="A12" s="16" t="inlineStr">
        <is>
          <t>Entertainment was 22 against 1,516 last month, a fall of 1,494 (98.5%). This has improved profit.</t>
        </is>
      </c>
    </row>
    <row r="13">
      <c r="A13" s="16" t="inlineStr">
        <is>
          <t>Repairs and Maintenance were 64 compared to 1,833 last month, a fall of 1,768 (96.5%). This has improved profit.</t>
        </is>
      </c>
    </row>
    <row r="14"/>
    <row r="15">
      <c r="A15" s="17" t="inlineStr">
        <is>
          <t>Items to investigate</t>
        </is>
      </c>
    </row>
    <row r="16">
      <c r="A16" s="16" t="inlineStr">
        <is>
          <t>• Check timing of Purchases entries, as there were none in the previous month.</t>
        </is>
      </c>
    </row>
    <row r="17">
      <c r="A17" s="16" t="inlineStr">
        <is>
          <t>• Review supporting documents for large decrease in Advertising, Entertainment, and Repairs and Maintenance to confirm coding and whether costs were moved or delayed.</t>
        </is>
      </c>
    </row>
    <row r="18">
      <c r="A18" s="16" t="inlineStr">
        <is>
          <t>• Ensure all income for both periods is complete and correctly coded.</t>
        </is>
      </c>
    </row>
    <row r="19">
      <c r="A19" s="16" t="inlineStr">
        <is>
          <t>• Check for missing, duplicated or misallocated expenses in both periods, especially where there is a large change.</t>
        </is>
      </c>
    </row>
    <row r="20">
      <c r="A20" s="16" t="inlineStr">
        <is>
          <t>• Review accruals and cut-off for expenses with irregular movements.</t>
        </is>
      </c>
    </row>
    <row r="21"/>
    <row r="22">
      <c r="A22" s="17" t="inlineStr">
        <is>
          <t>Questions for the client</t>
        </is>
      </c>
    </row>
    <row r="23">
      <c r="A23" s="16" t="inlineStr">
        <is>
          <t>• Was there a planned reduction in Advertising spend this month?</t>
        </is>
      </c>
    </row>
    <row r="24">
      <c r="A24" s="16" t="inlineStr">
        <is>
          <t>• Did any specific events or projects lead to higher Entertainment and Repairs and Maintenance costs in the previous month?</t>
        </is>
      </c>
    </row>
    <row r="25">
      <c r="A25" s="16" t="inlineStr">
        <is>
          <t>• Can you confirm if the new Purchases this month reflect a change in operations or a timing difference?</t>
        </is>
      </c>
    </row>
    <row r="26">
      <c r="A26" s="16" t="inlineStr">
        <is>
          <t>• Has the business changed suppliers, contracts, or service levels for any expense categories?</t>
        </is>
      </c>
    </row>
    <row r="27">
      <c r="A27" s="16" t="inlineStr">
        <is>
          <t>• Are there any one-off items or timing differences we should be aware of this month?</t>
        </is>
      </c>
    </row>
    <row r="28">
      <c r="A28" s="16" t="inlineStr">
        <is>
          <t>Number check: All numbers in this commentary match the Xero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2026-09-28T09:12:07Z</dcterms:created>
  <dcterms:modified xsi:type="dcterms:W3CDTF">2026-09-28T09:12:07Z</dcterms:modified>
</cp:coreProperties>
</file>